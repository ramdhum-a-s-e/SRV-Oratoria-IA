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REP\AppData\Local\Packages\Claude_pzs8sxrjxfjjc\LocalCache\Roaming\Claude\local-agent-mode-sessions\6f574329-c55c-4a9e-aff7-2c223999518d\938ac546-ec94-4b68-853a-bc860cfb59c8\local_44413989-75ed-44bc-afa2-e19645ca1943\outputs\"/>
    </mc:Choice>
  </mc:AlternateContent>
  <xr:revisionPtr revIDLastSave="0" documentId="13_ncr:1_{E11D9290-729A-47B9-B68F-F24D172A32F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Bitacora" sheetId="1" r:id="rId1"/>
    <sheet name="Rangos de referenc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52" i="1" l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6" i="1"/>
  <c r="V46" i="1" s="1"/>
  <c r="U45" i="1"/>
  <c r="V45" i="1" s="1"/>
  <c r="U44" i="1"/>
  <c r="V44" i="1" s="1"/>
  <c r="U43" i="1"/>
  <c r="V43" i="1" s="1"/>
  <c r="U42" i="1"/>
  <c r="V42" i="1" s="1"/>
  <c r="U41" i="1"/>
  <c r="V41" i="1" s="1"/>
  <c r="U40" i="1"/>
  <c r="V40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V29" i="1"/>
  <c r="U29" i="1"/>
  <c r="V28" i="1"/>
  <c r="U28" i="1"/>
  <c r="U27" i="1"/>
  <c r="V27" i="1" s="1"/>
  <c r="U26" i="1"/>
  <c r="V26" i="1" s="1"/>
  <c r="U25" i="1"/>
  <c r="V25" i="1" s="1"/>
  <c r="V24" i="1"/>
  <c r="U24" i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V17" i="1"/>
  <c r="U17" i="1"/>
  <c r="U16" i="1"/>
  <c r="V16" i="1" s="1"/>
  <c r="U15" i="1"/>
  <c r="V15" i="1" s="1"/>
  <c r="U14" i="1"/>
  <c r="V14" i="1" s="1"/>
  <c r="V13" i="1"/>
  <c r="U13" i="1"/>
  <c r="V12" i="1"/>
  <c r="U12" i="1"/>
  <c r="U11" i="1"/>
  <c r="V11" i="1" s="1"/>
  <c r="U10" i="1"/>
  <c r="V10" i="1" s="1"/>
  <c r="U9" i="1"/>
  <c r="V9" i="1" s="1"/>
  <c r="V8" i="1"/>
  <c r="U8" i="1"/>
  <c r="U7" i="1"/>
  <c r="V7" i="1" s="1"/>
  <c r="U6" i="1"/>
  <c r="V6" i="1" s="1"/>
  <c r="V5" i="1"/>
  <c r="U5" i="1"/>
  <c r="U4" i="1"/>
  <c r="V4" i="1" s="1"/>
</calcChain>
</file>

<file path=xl/sharedStrings.xml><?xml version="1.0" encoding="utf-8"?>
<sst xmlns="http://schemas.openxmlformats.org/spreadsheetml/2006/main" count="128" uniqueCount="121">
  <si>
    <t>N°</t>
  </si>
  <si>
    <t>Estudiante</t>
  </si>
  <si>
    <t>Grado y sección</t>
  </si>
  <si>
    <t>Fecha / N° sesión</t>
  </si>
  <si>
    <t>Dimensión 1: Fluidez oral</t>
  </si>
  <si>
    <t>Dimensión 2: Vocabulario y coherencia</t>
  </si>
  <si>
    <t>Dimensión 3: Expresividad vocal</t>
  </si>
  <si>
    <t>Puntaje total
(promedio 8 indicadores)</t>
  </si>
  <si>
    <t>Nivel de logro</t>
  </si>
  <si>
    <t>Observaciones</t>
  </si>
  <si>
    <t>1.1 Velocidad de habla</t>
  </si>
  <si>
    <t>1.2 Bloqueos</t>
  </si>
  <si>
    <t>1.3 Volumen de voz</t>
  </si>
  <si>
    <t>2.1 Muletillas</t>
  </si>
  <si>
    <t>2.2 Riqueza léxica</t>
  </si>
  <si>
    <t>2.3 Coherencia</t>
  </si>
  <si>
    <t>3.1 Variación tonal</t>
  </si>
  <si>
    <t>3.2 Calidad de voz</t>
  </si>
  <si>
    <t>Valor (PPM)</t>
  </si>
  <si>
    <t>Puntaje (0-100)</t>
  </si>
  <si>
    <t>Valor (n.° pausas &gt;2s)</t>
  </si>
  <si>
    <t>Valor (dB)</t>
  </si>
  <si>
    <t>Valor (conteo)</t>
  </si>
  <si>
    <t>Valor (TTR %)</t>
  </si>
  <si>
    <t>Valor (categoría)</t>
  </si>
  <si>
    <t>Valor (pts /40)</t>
  </si>
  <si>
    <t>Valor (pts /30)</t>
  </si>
  <si>
    <t>Alumno 01</t>
  </si>
  <si>
    <t>Alumno 02</t>
  </si>
  <si>
    <t>Alumno 03</t>
  </si>
  <si>
    <t>Alumno 04</t>
  </si>
  <si>
    <t>Alumno 05</t>
  </si>
  <si>
    <t>Alumno 06</t>
  </si>
  <si>
    <t>Alumno 07</t>
  </si>
  <si>
    <t>Alumno 08</t>
  </si>
  <si>
    <t>Alumno 09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</si>
  <si>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</si>
  <si>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</si>
  <si>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</si>
  <si>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</si>
  <si>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</si>
  <si>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</si>
  <si>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</si>
  <si>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</si>
  <si>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</si>
  <si>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</si>
  <si>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</si>
  <si>
    <t>Alumno 21</t>
  </si>
  <si>
    <t>Alumno 22</t>
  </si>
  <si>
    <t>Alumno 23</t>
  </si>
  <si>
    <t>Alumno 24</t>
  </si>
  <si>
    <t>Alumno 25</t>
  </si>
  <si>
    <t>Alumno 26</t>
  </si>
  <si>
    <t>Alumno 27</t>
  </si>
  <si>
    <t>Alumno 28</t>
  </si>
  <si>
    <t>Alumno 29</t>
  </si>
  <si>
    <t>Alumno 30</t>
  </si>
  <si>
    <t>Alumno 31</t>
  </si>
  <si>
    <t>Alumno 32</t>
  </si>
  <si>
    <t>Alumno 33</t>
  </si>
  <si>
    <t>Alumno 34</t>
  </si>
  <si>
    <t>Alumno 35</t>
  </si>
  <si>
    <t>Alumno 36</t>
  </si>
  <si>
    <t>Alumno 37</t>
  </si>
  <si>
    <t>Alumno 38</t>
  </si>
  <si>
    <t>Alumno 39</t>
  </si>
  <si>
    <t>Alumno 40</t>
  </si>
  <si>
    <t>Alumno 41</t>
  </si>
  <si>
    <t>Alumno 42</t>
  </si>
  <si>
    <t>Alumno 43</t>
  </si>
  <si>
    <t>Alumno 44</t>
  </si>
  <si>
    <t>Alumno 45</t>
  </si>
  <si>
    <t>Alumno 46</t>
  </si>
  <si>
    <t>Alumno 47</t>
  </si>
  <si>
    <t>Alumno 48</t>
  </si>
  <si>
    <t>Alumno 49</t>
  </si>
  <si>
    <t>Indicador</t>
  </si>
  <si>
    <t>Inicio (0-25 pts)</t>
  </si>
  <si>
    <t>Proceso (26-50 pts)</t>
  </si>
  <si>
    <t>Logro esperado (51-75 pts)</t>
  </si>
  <si>
    <t>Logro destacado (76-100 pts)</t>
  </si>
  <si>
    <t>1.1 Velocidad de habla (PPM)</t>
  </si>
  <si>
    <t>&lt;50 o &gt;200</t>
  </si>
  <si>
    <t>50-79 o 161-200</t>
  </si>
  <si>
    <t>121-160</t>
  </si>
  <si>
    <t>80-120 (ideal)</t>
  </si>
  <si>
    <t>1.2 Bloqueos (n.° pausas &gt;2s)</t>
  </si>
  <si>
    <t>≥5</t>
  </si>
  <si>
    <t>3-4</t>
  </si>
  <si>
    <t>1-2</t>
  </si>
  <si>
    <t>0</t>
  </si>
  <si>
    <t>1.3 Volumen de voz (dB)</t>
  </si>
  <si>
    <t>&lt;45 o &gt;95</t>
  </si>
  <si>
    <t>45-59 o 86-95</t>
  </si>
  <si>
    <t>60-69 o 81-85</t>
  </si>
  <si>
    <t>70-80 (óptimo)</t>
  </si>
  <si>
    <t>2.1 Muletillas (conteo)</t>
  </si>
  <si>
    <t>≥6</t>
  </si>
  <si>
    <t>4-5</t>
  </si>
  <si>
    <t>2-3</t>
  </si>
  <si>
    <t>0-1</t>
  </si>
  <si>
    <t>2.2 Riqueza léxica (TTR %)</t>
  </si>
  <si>
    <t>0-25%</t>
  </si>
  <si>
    <t>26-50%</t>
  </si>
  <si>
    <t>51-75%</t>
  </si>
  <si>
    <t>76-100%</t>
  </si>
  <si>
    <t>2.3 Coherencia (categoría)</t>
  </si>
  <si>
    <t>baja</t>
  </si>
  <si>
    <t>regular</t>
  </si>
  <si>
    <t>buena</t>
  </si>
  <si>
    <t>excelente</t>
  </si>
  <si>
    <t>3.1 Variación tonal (pts/40)</t>
  </si>
  <si>
    <t>0-10</t>
  </si>
  <si>
    <t>11-20</t>
  </si>
  <si>
    <t>21-30</t>
  </si>
  <si>
    <t>31-40</t>
  </si>
  <si>
    <t>3.2 Calidad de voz (pts/30)</t>
  </si>
  <si>
    <t>0-7</t>
  </si>
  <si>
    <t>8-15</t>
  </si>
  <si>
    <t>16-22</t>
  </si>
  <si>
    <t>23-30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</si>
</sst>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943634"/>
        <bgColor rgb="FF993366"/>
      </patternFill>
    </fill>
    <fill>
      <patternFill patternType="solid">
        <fgColor rgb="FF375623"/>
        <bgColor rgb="FF555555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CE4D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5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164" fontId="2" fillId="8" borderId="2" xfId="0" applyNumberFormat="1" applyFont="1" applyFill="1" applyBorder="1"/>
    <xf numFmtId="0" fontId="2" fillId="7" borderId="2" xfId="0" applyFont="1" applyFill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A9D08E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43634"/>
      <rgbColor rgb="FFF2F2F2"/>
      <rgbColor rgb="FFFCE4D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A9D08E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showGridLines="0" tabSelected="1" zoomScale="4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:D1048576"/>
    </sheetView>
  </sheetViews>
  <sheetFormatPr baseColWidth="10" defaultColWidth="8.7109375" defaultRowHeight="15" x14ac:dyDescent="0.25"/>
  <cols>
    <col min="1" max="1" width="5" customWidth="1"/>
    <col min="2" max="2" width="16" customWidth="1"/>
    <col min="3" max="3" width="14" customWidth="1"/>
    <col min="4" max="4" width="16" customWidth="1"/>
    <col min="5" max="20" width="11" customWidth="1"/>
    <col min="21" max="21" width="13" customWidth="1"/>
    <col min="22" max="22" width="15" customWidth="1"/>
    <col min="23" max="23" width="28" customWidth="1"/>
  </cols>
  <sheetData>
    <row r="1" spans="1:23" ht="33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/>
      <c r="G1" s="4"/>
      <c r="H1" s="4"/>
      <c r="I1" s="4"/>
      <c r="J1" s="4"/>
      <c r="K1" s="4" t="s">
        <v>5</v>
      </c>
      <c r="L1" s="4"/>
      <c r="M1" s="4"/>
      <c r="N1" s="4"/>
      <c r="O1" s="4"/>
      <c r="P1" s="4"/>
      <c r="Q1" s="4" t="s">
        <v>6</v>
      </c>
      <c r="R1" s="4"/>
      <c r="S1" s="4"/>
      <c r="T1" s="4"/>
      <c r="U1" s="2" t="s">
        <v>7</v>
      </c>
      <c r="V1" s="2" t="s">
        <v>8</v>
      </c>
      <c r="W1" s="2" t="s">
        <v>9</v>
      </c>
    </row>
    <row r="2" spans="1:23" ht="30" customHeight="1" x14ac:dyDescent="0.25">
      <c r="A2" s="5"/>
      <c r="B2" s="5"/>
      <c r="C2" s="5"/>
      <c r="D2" s="5"/>
      <c r="E2" s="1" t="s">
        <v>10</v>
      </c>
      <c r="F2" s="1"/>
      <c r="G2" s="1" t="s">
        <v>11</v>
      </c>
      <c r="H2" s="1"/>
      <c r="I2" s="1" t="s">
        <v>12</v>
      </c>
      <c r="J2" s="1"/>
      <c r="K2" s="1" t="s">
        <v>13</v>
      </c>
      <c r="L2" s="1"/>
      <c r="M2" s="1" t="s">
        <v>14</v>
      </c>
      <c r="N2" s="1"/>
      <c r="O2" s="1" t="s">
        <v>15</v>
      </c>
      <c r="P2" s="1"/>
      <c r="Q2" s="1" t="s">
        <v>16</v>
      </c>
      <c r="R2" s="1"/>
      <c r="S2" s="1" t="s">
        <v>17</v>
      </c>
      <c r="T2" s="1"/>
      <c r="U2" s="3"/>
      <c r="V2" s="3"/>
      <c r="W2" s="3"/>
    </row>
    <row r="3" spans="1:23" ht="27.75" customHeight="1" x14ac:dyDescent="0.25">
      <c r="A3" s="5"/>
      <c r="B3" s="5"/>
      <c r="C3" s="5"/>
      <c r="D3" s="5"/>
      <c r="E3" s="7" t="s">
        <v>18</v>
      </c>
      <c r="F3" s="7" t="s">
        <v>19</v>
      </c>
      <c r="G3" s="7" t="s">
        <v>20</v>
      </c>
      <c r="H3" s="7" t="s">
        <v>19</v>
      </c>
      <c r="I3" s="7" t="s">
        <v>21</v>
      </c>
      <c r="J3" s="7" t="s">
        <v>19</v>
      </c>
      <c r="K3" s="7" t="s">
        <v>22</v>
      </c>
      <c r="L3" s="7" t="s">
        <v>19</v>
      </c>
      <c r="M3" s="7" t="s">
        <v>23</v>
      </c>
      <c r="N3" s="7" t="s">
        <v>19</v>
      </c>
      <c r="O3" s="7" t="s">
        <v>24</v>
      </c>
      <c r="P3" s="7" t="s">
        <v>19</v>
      </c>
      <c r="Q3" s="7" t="s">
        <v>25</v>
      </c>
      <c r="R3" s="7" t="s">
        <v>19</v>
      </c>
      <c r="S3" s="7" t="s">
        <v>26</v>
      </c>
      <c r="T3" s="7" t="s">
        <v>19</v>
      </c>
      <c r="U3" s="2"/>
      <c r="V3" s="2"/>
      <c r="W3" s="2"/>
    </row>
    <row r="4" spans="1:23" x14ac:dyDescent="0.25">
      <c r="A4" s="8">
        <v>1</v>
      </c>
      <c r="B4" s="8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 t="str">
        <f t="shared" ref="U4:U35" si="0">IFERROR(AVERAGE(F4,H4,J4,L4,N4,P4,R4,T4),"")</f>
        <v/>
      </c>
      <c r="V4" s="10" t="str">
        <f t="shared" ref="V4:V35" si="1">IF(U4="","",IF(U4&lt;=25,"Inicio",IF(U4&lt;=50,"Proceso",IF(U4&lt;=75,"Logro esperado","Logro destacado"))))</f>
        <v/>
      </c>
      <c r="W4" s="8"/>
    </row>
    <row r="5" spans="1:23" x14ac:dyDescent="0.25">
      <c r="A5" s="11">
        <v>2</v>
      </c>
      <c r="B5" s="11" t="s">
        <v>28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9" t="str">
        <f t="shared" si="0"/>
        <v/>
      </c>
      <c r="V5" s="12" t="str">
        <f t="shared" si="1"/>
        <v/>
      </c>
      <c r="W5" s="11"/>
    </row>
    <row r="6" spans="1:23" x14ac:dyDescent="0.25">
      <c r="A6" s="8">
        <v>3</v>
      </c>
      <c r="B6" s="8" t="s">
        <v>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 t="str">
        <f t="shared" si="0"/>
        <v/>
      </c>
      <c r="V6" s="10" t="str">
        <f t="shared" si="1"/>
        <v/>
      </c>
      <c r="W6" s="8"/>
    </row>
    <row r="7" spans="1:23" x14ac:dyDescent="0.25">
      <c r="A7" s="11">
        <v>4</v>
      </c>
      <c r="B7" s="11" t="s">
        <v>30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9" t="str">
        <f t="shared" si="0"/>
        <v/>
      </c>
      <c r="V7" s="12" t="str">
        <f t="shared" si="1"/>
        <v/>
      </c>
      <c r="W7" s="11"/>
    </row>
    <row r="8" spans="1:23" x14ac:dyDescent="0.25">
      <c r="A8" s="8">
        <v>5</v>
      </c>
      <c r="B8" s="8" t="s">
        <v>31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 t="str">
        <f t="shared" si="0"/>
        <v/>
      </c>
      <c r="V8" s="10" t="str">
        <f t="shared" si="1"/>
        <v/>
      </c>
      <c r="W8" s="8"/>
    </row>
    <row r="9" spans="1:23" x14ac:dyDescent="0.25">
      <c r="A9" s="11">
        <v>6</v>
      </c>
      <c r="B9" s="11" t="s">
        <v>32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9" t="str">
        <f t="shared" si="0"/>
        <v/>
      </c>
      <c r="V9" s="12" t="str">
        <f t="shared" si="1"/>
        <v/>
      </c>
      <c r="W9" s="11"/>
    </row>
    <row r="10" spans="1:23" x14ac:dyDescent="0.25">
      <c r="A10" s="8">
        <v>7</v>
      </c>
      <c r="B10" s="8" t="s">
        <v>33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 t="str">
        <f t="shared" si="0"/>
        <v/>
      </c>
      <c r="V10" s="10" t="str">
        <f t="shared" si="1"/>
        <v/>
      </c>
      <c r="W10" s="8"/>
    </row>
    <row r="11" spans="1:23" x14ac:dyDescent="0.25">
      <c r="A11" s="11">
        <v>8</v>
      </c>
      <c r="B11" s="11" t="s">
        <v>34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tr">
        <f t="shared" si="0"/>
        <v/>
      </c>
      <c r="V11" s="12" t="str">
        <f t="shared" si="1"/>
        <v/>
      </c>
      <c r="W11" s="11"/>
    </row>
    <row r="12" spans="1:23" x14ac:dyDescent="0.25">
      <c r="A12" s="8">
        <v>9</v>
      </c>
      <c r="B12" s="8" t="s">
        <v>35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 t="str">
        <f t="shared" si="0"/>
        <v/>
      </c>
      <c r="V12" s="10" t="str">
        <f t="shared" si="1"/>
        <v/>
      </c>
      <c r="W12" s="8"/>
    </row>
    <row r="13" spans="1:23" x14ac:dyDescent="0.25">
      <c r="A13" s="11">
        <v>10</v>
      </c>
      <c r="B13" s="11" t="s">
        <v>36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tr">
        <f t="shared" si="0"/>
        <v/>
      </c>
      <c r="V13" s="12" t="str">
        <f t="shared" si="1"/>
        <v/>
      </c>
      <c r="W13" s="11"/>
    </row>
    <row r="14" spans="1:23" x14ac:dyDescent="0.25">
      <c r="A14" s="8">
        <v>11</v>
      </c>
      <c r="B14" s="8" t="s">
        <v>37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 t="str">
        <f t="shared" si="0"/>
        <v/>
      </c>
      <c r="V14" s="10" t="str">
        <f t="shared" si="1"/>
        <v/>
      </c>
      <c r="W14" s="8"/>
    </row>
    <row r="15" spans="1:23" x14ac:dyDescent="0.25">
      <c r="A15" s="11">
        <v>12</v>
      </c>
      <c r="B15" s="11" t="s">
        <v>38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9" t="str">
        <f t="shared" si="0"/>
        <v/>
      </c>
      <c r="V15" s="12" t="str">
        <f t="shared" si="1"/>
        <v/>
      </c>
      <c r="W15" s="11"/>
    </row>
    <row r="16" spans="1:23" x14ac:dyDescent="0.25">
      <c r="A16" s="8">
        <v>13</v>
      </c>
      <c r="B16" s="8" t="s">
        <v>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 t="str">
        <f t="shared" si="0"/>
        <v/>
      </c>
      <c r="V16" s="10" t="str">
        <f t="shared" si="1"/>
        <v/>
      </c>
      <c r="W16" s="8"/>
    </row>
    <row r="17" spans="1:23" x14ac:dyDescent="0.25">
      <c r="A17" s="11">
        <v>14</v>
      </c>
      <c r="B17" s="11" t="s">
        <v>40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9" t="str">
        <f t="shared" si="0"/>
        <v/>
      </c>
      <c r="V17" s="12" t="str">
        <f t="shared" si="1"/>
        <v/>
      </c>
      <c r="W17" s="11"/>
    </row>
    <row r="18" spans="1:23" x14ac:dyDescent="0.25">
      <c r="A18" s="8">
        <v>15</v>
      </c>
      <c r="B18" s="8" t="s">
        <v>41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 t="str">
        <f t="shared" si="0"/>
        <v/>
      </c>
      <c r="V18" s="10" t="str">
        <f t="shared" si="1"/>
        <v/>
      </c>
      <c r="W18" s="8"/>
    </row>
    <row r="19" spans="1:23" x14ac:dyDescent="0.25">
      <c r="A19" s="11">
        <v>16</v>
      </c>
      <c r="B19" s="11" t="s">
        <v>42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9" t="str">
        <f t="shared" si="0"/>
        <v/>
      </c>
      <c r="V19" s="12" t="str">
        <f t="shared" si="1"/>
        <v/>
      </c>
      <c r="W19" s="11"/>
    </row>
    <row r="20" spans="1:23" x14ac:dyDescent="0.25">
      <c r="A20" s="8">
        <v>17</v>
      </c>
      <c r="B20" s="8" t="s">
        <v>43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 t="str">
        <f t="shared" si="0"/>
        <v/>
      </c>
      <c r="V20" s="10" t="str">
        <f t="shared" si="1"/>
        <v/>
      </c>
      <c r="W20" s="8"/>
    </row>
    <row r="21" spans="1:23" x14ac:dyDescent="0.25">
      <c r="A21" s="11">
        <v>18</v>
      </c>
      <c r="B21" s="11" t="s">
        <v>44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9" t="str">
        <f t="shared" si="0"/>
        <v/>
      </c>
      <c r="V21" s="12" t="str">
        <f t="shared" si="1"/>
        <v/>
      </c>
      <c r="W21" s="11"/>
    </row>
    <row r="22" spans="1:23" x14ac:dyDescent="0.25">
      <c r="A22" s="8">
        <v>19</v>
      </c>
      <c r="B22" s="8" t="s">
        <v>45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 t="str">
        <f t="shared" si="0"/>
        <v/>
      </c>
      <c r="V22" s="10" t="str">
        <f t="shared" si="1"/>
        <v/>
      </c>
      <c r="W22" s="8"/>
    </row>
    <row r="23" spans="1:23" x14ac:dyDescent="0.25">
      <c r="A23" s="11">
        <v>20</v>
      </c>
      <c r="B23" s="11" t="s">
        <v>46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9" t="str">
        <f t="shared" si="0"/>
        <v/>
      </c>
      <c r="V23" s="12" t="str">
        <f t="shared" si="1"/>
        <v/>
      </c>
      <c r="W23" s="11"/>
    </row>
    <row r="24" spans="1:23" x14ac:dyDescent="0.25">
      <c r="A24" s="8">
        <v>21</v>
      </c>
      <c r="B24" s="8" t="s">
        <v>47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 t="str">
        <f t="shared" si="0"/>
        <v/>
      </c>
      <c r="V24" s="10" t="str">
        <f t="shared" si="1"/>
        <v/>
      </c>
      <c r="W24" s="8"/>
    </row>
    <row r="25" spans="1:23" x14ac:dyDescent="0.25">
      <c r="A25" s="11">
        <v>22</v>
      </c>
      <c r="B25" s="11" t="s">
        <v>48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9" t="str">
        <f t="shared" si="0"/>
        <v/>
      </c>
      <c r="V25" s="12" t="str">
        <f t="shared" si="1"/>
        <v/>
      </c>
      <c r="W25" s="11"/>
    </row>
    <row r="26" spans="1:23" x14ac:dyDescent="0.25">
      <c r="A26" s="8">
        <v>23</v>
      </c>
      <c r="B26" s="8" t="s">
        <v>49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 t="str">
        <f t="shared" si="0"/>
        <v/>
      </c>
      <c r="V26" s="10" t="str">
        <f t="shared" si="1"/>
        <v/>
      </c>
      <c r="W26" s="8"/>
    </row>
    <row r="27" spans="1:23" x14ac:dyDescent="0.25">
      <c r="A27" s="11">
        <v>24</v>
      </c>
      <c r="B27" s="11" t="s">
        <v>50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9" t="str">
        <f t="shared" si="0"/>
        <v/>
      </c>
      <c r="V27" s="12" t="str">
        <f t="shared" si="1"/>
        <v/>
      </c>
      <c r="W27" s="11"/>
    </row>
    <row r="28" spans="1:23" x14ac:dyDescent="0.25">
      <c r="A28" s="8">
        <v>25</v>
      </c>
      <c r="B28" s="8" t="s">
        <v>51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 t="str">
        <f t="shared" si="0"/>
        <v/>
      </c>
      <c r="V28" s="10" t="str">
        <f t="shared" si="1"/>
        <v/>
      </c>
      <c r="W28" s="8"/>
    </row>
    <row r="29" spans="1:23" x14ac:dyDescent="0.25">
      <c r="A29" s="11">
        <v>26</v>
      </c>
      <c r="B29" s="11" t="s">
        <v>52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9" t="str">
        <f t="shared" si="0"/>
        <v/>
      </c>
      <c r="V29" s="12" t="str">
        <f t="shared" si="1"/>
        <v/>
      </c>
      <c r="W29" s="11"/>
    </row>
    <row r="30" spans="1:23" x14ac:dyDescent="0.25">
      <c r="A30" s="8">
        <v>27</v>
      </c>
      <c r="B30" s="8" t="s">
        <v>53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9" t="str">
        <f t="shared" si="0"/>
        <v/>
      </c>
      <c r="V30" s="10" t="str">
        <f t="shared" si="1"/>
        <v/>
      </c>
      <c r="W30" s="8"/>
    </row>
    <row r="31" spans="1:23" x14ac:dyDescent="0.25">
      <c r="A31" s="11">
        <v>28</v>
      </c>
      <c r="B31" s="11" t="s">
        <v>54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9" t="str">
        <f t="shared" si="0"/>
        <v/>
      </c>
      <c r="V31" s="12" t="str">
        <f t="shared" si="1"/>
        <v/>
      </c>
      <c r="W31" s="11"/>
    </row>
    <row r="32" spans="1:23" x14ac:dyDescent="0.25">
      <c r="A32" s="8">
        <v>29</v>
      </c>
      <c r="B32" s="8" t="s">
        <v>55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 t="str">
        <f t="shared" si="0"/>
        <v/>
      </c>
      <c r="V32" s="10" t="str">
        <f t="shared" si="1"/>
        <v/>
      </c>
      <c r="W32" s="8"/>
    </row>
    <row r="33" spans="1:23" x14ac:dyDescent="0.25">
      <c r="A33" s="11">
        <v>30</v>
      </c>
      <c r="B33" s="11" t="s">
        <v>56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9" t="str">
        <f t="shared" si="0"/>
        <v/>
      </c>
      <c r="V33" s="12" t="str">
        <f t="shared" si="1"/>
        <v/>
      </c>
      <c r="W33" s="11"/>
    </row>
    <row r="34" spans="1:23" x14ac:dyDescent="0.25">
      <c r="A34" s="8">
        <v>31</v>
      </c>
      <c r="B34" s="8" t="s">
        <v>57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9" t="str">
        <f t="shared" si="0"/>
        <v/>
      </c>
      <c r="V34" s="10" t="str">
        <f t="shared" si="1"/>
        <v/>
      </c>
      <c r="W34" s="8"/>
    </row>
    <row r="35" spans="1:23" x14ac:dyDescent="0.25">
      <c r="A35" s="11">
        <v>32</v>
      </c>
      <c r="B35" s="11" t="s">
        <v>58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9" t="str">
        <f t="shared" si="0"/>
        <v/>
      </c>
      <c r="V35" s="12" t="str">
        <f t="shared" si="1"/>
        <v/>
      </c>
      <c r="W35" s="11"/>
    </row>
    <row r="36" spans="1:23" x14ac:dyDescent="0.25">
      <c r="A36" s="8">
        <v>33</v>
      </c>
      <c r="B36" s="8" t="s">
        <v>59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 t="str">
        <f t="shared" ref="U36:U52" si="2">IFERROR(AVERAGE(F36,H36,J36,L36,N36,P36,R36,T36),"")</f>
        <v/>
      </c>
      <c r="V36" s="10" t="str">
        <f t="shared" ref="V36:V67" si="3">IF(U36="","",IF(U36&lt;=25,"Inicio",IF(U36&lt;=50,"Proceso",IF(U36&lt;=75,"Logro esperado","Logro destacado"))))</f>
        <v/>
      </c>
      <c r="W36" s="8"/>
    </row>
    <row r="37" spans="1:23" x14ac:dyDescent="0.25">
      <c r="A37" s="11">
        <v>34</v>
      </c>
      <c r="B37" s="11" t="s">
        <v>60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9" t="str">
        <f t="shared" si="2"/>
        <v/>
      </c>
      <c r="V37" s="12" t="str">
        <f t="shared" si="3"/>
        <v/>
      </c>
      <c r="W37" s="11"/>
    </row>
    <row r="38" spans="1:23" x14ac:dyDescent="0.25">
      <c r="A38" s="8">
        <v>35</v>
      </c>
      <c r="B38" s="8" t="s">
        <v>61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9" t="str">
        <f t="shared" si="2"/>
        <v/>
      </c>
      <c r="V38" s="10" t="str">
        <f t="shared" si="3"/>
        <v/>
      </c>
      <c r="W38" s="8"/>
    </row>
    <row r="39" spans="1:23" x14ac:dyDescent="0.25">
      <c r="A39" s="11">
        <v>36</v>
      </c>
      <c r="B39" s="11" t="s">
        <v>62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9" t="str">
        <f t="shared" si="2"/>
        <v/>
      </c>
      <c r="V39" s="12" t="str">
        <f t="shared" si="3"/>
        <v/>
      </c>
      <c r="W39" s="11"/>
    </row>
    <row r="40" spans="1:23" x14ac:dyDescent="0.25">
      <c r="A40" s="8">
        <v>37</v>
      </c>
      <c r="B40" s="8" t="s">
        <v>63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9" t="str">
        <f t="shared" si="2"/>
        <v/>
      </c>
      <c r="V40" s="10" t="str">
        <f t="shared" si="3"/>
        <v/>
      </c>
      <c r="W40" s="8"/>
    </row>
    <row r="41" spans="1:23" x14ac:dyDescent="0.25">
      <c r="A41" s="11">
        <v>38</v>
      </c>
      <c r="B41" s="11" t="s">
        <v>64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9" t="str">
        <f t="shared" si="2"/>
        <v/>
      </c>
      <c r="V41" s="12" t="str">
        <f t="shared" si="3"/>
        <v/>
      </c>
      <c r="W41" s="11"/>
    </row>
    <row r="42" spans="1:23" x14ac:dyDescent="0.25">
      <c r="A42" s="8">
        <v>39</v>
      </c>
      <c r="B42" s="8" t="s">
        <v>65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9" t="str">
        <f t="shared" si="2"/>
        <v/>
      </c>
      <c r="V42" s="10" t="str">
        <f t="shared" si="3"/>
        <v/>
      </c>
      <c r="W42" s="8"/>
    </row>
    <row r="43" spans="1:23" x14ac:dyDescent="0.25">
      <c r="A43" s="11">
        <v>40</v>
      </c>
      <c r="B43" s="11" t="s">
        <v>66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9" t="str">
        <f t="shared" si="2"/>
        <v/>
      </c>
      <c r="V43" s="12" t="str">
        <f t="shared" si="3"/>
        <v/>
      </c>
      <c r="W43" s="11"/>
    </row>
    <row r="44" spans="1:23" x14ac:dyDescent="0.25">
      <c r="A44" s="8">
        <v>41</v>
      </c>
      <c r="B44" s="8" t="s">
        <v>67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9" t="str">
        <f t="shared" si="2"/>
        <v/>
      </c>
      <c r="V44" s="10" t="str">
        <f t="shared" si="3"/>
        <v/>
      </c>
      <c r="W44" s="8"/>
    </row>
    <row r="45" spans="1:23" x14ac:dyDescent="0.25">
      <c r="A45" s="11">
        <v>42</v>
      </c>
      <c r="B45" s="11" t="s">
        <v>68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9" t="str">
        <f t="shared" si="2"/>
        <v/>
      </c>
      <c r="V45" s="12" t="str">
        <f t="shared" si="3"/>
        <v/>
      </c>
      <c r="W45" s="11"/>
    </row>
    <row r="46" spans="1:23" x14ac:dyDescent="0.25">
      <c r="A46" s="8">
        <v>43</v>
      </c>
      <c r="B46" s="8" t="s">
        <v>69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 t="str">
        <f t="shared" si="2"/>
        <v/>
      </c>
      <c r="V46" s="10" t="str">
        <f t="shared" si="3"/>
        <v/>
      </c>
      <c r="W46" s="8"/>
    </row>
    <row r="47" spans="1:23" x14ac:dyDescent="0.25">
      <c r="A47" s="11">
        <v>44</v>
      </c>
      <c r="B47" s="11" t="s">
        <v>70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9" t="str">
        <f t="shared" si="2"/>
        <v/>
      </c>
      <c r="V47" s="12" t="str">
        <f t="shared" si="3"/>
        <v/>
      </c>
      <c r="W47" s="11"/>
    </row>
    <row r="48" spans="1:23" x14ac:dyDescent="0.25">
      <c r="A48" s="8">
        <v>45</v>
      </c>
      <c r="B48" s="8" t="s">
        <v>71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 t="str">
        <f t="shared" si="2"/>
        <v/>
      </c>
      <c r="V48" s="10" t="str">
        <f t="shared" si="3"/>
        <v/>
      </c>
      <c r="W48" s="8"/>
    </row>
    <row r="49" spans="1:23" x14ac:dyDescent="0.25">
      <c r="A49" s="11">
        <v>46</v>
      </c>
      <c r="B49" s="11" t="s">
        <v>72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9" t="str">
        <f t="shared" si="2"/>
        <v/>
      </c>
      <c r="V49" s="12" t="str">
        <f t="shared" si="3"/>
        <v/>
      </c>
      <c r="W49" s="11"/>
    </row>
    <row r="50" spans="1:23" x14ac:dyDescent="0.25">
      <c r="A50" s="8">
        <v>47</v>
      </c>
      <c r="B50" s="8" t="s">
        <v>73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 t="str">
        <f t="shared" si="2"/>
        <v/>
      </c>
      <c r="V50" s="10" t="str">
        <f t="shared" si="3"/>
        <v/>
      </c>
      <c r="W50" s="8"/>
    </row>
    <row r="51" spans="1:23" x14ac:dyDescent="0.25">
      <c r="A51" s="11">
        <v>48</v>
      </c>
      <c r="B51" s="11" t="s">
        <v>74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9" t="str">
        <f t="shared" si="2"/>
        <v/>
      </c>
      <c r="V51" s="12" t="str">
        <f t="shared" si="3"/>
        <v/>
      </c>
      <c r="W51" s="11"/>
    </row>
    <row r="52" spans="1:23" x14ac:dyDescent="0.25">
      <c r="A52" s="8">
        <v>49</v>
      </c>
      <c r="B52" s="8" t="s">
        <v>75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 t="str">
        <f t="shared" si="2"/>
        <v/>
      </c>
      <c r="V52" s="10" t="str">
        <f t="shared" si="3"/>
        <v/>
      </c>
      <c r="W52" s="8"/>
    </row>
  </sheetData>
  <mergeCells count="18">
    <mergeCell ref="V1:V3"/>
    <mergeCell ref="W1:W3"/>
    <mergeCell ref="E2:F2"/>
    <mergeCell ref="G2:H2"/>
    <mergeCell ref="I2:J2"/>
    <mergeCell ref="K2:L2"/>
    <mergeCell ref="M2:N2"/>
    <mergeCell ref="O2:P2"/>
    <mergeCell ref="Q2:R2"/>
    <mergeCell ref="S2:T2"/>
    <mergeCell ref="K1:P1"/>
    <mergeCell ref="Q1:T1"/>
    <mergeCell ref="U1:U3"/>
    <mergeCell ref="A1:A3"/>
    <mergeCell ref="B1:B3"/>
    <mergeCell ref="C1:C3"/>
    <mergeCell ref="D1:D3"/>
    <mergeCell ref="E1:J1"/>
  </mergeCells>
  <conditionalFormatting sqref="V4:V52">
    <cfRule type="cellIs" dxfId="3" priority="2" operator="equal">
      <formula>"Inicio"</formula>
    </cfRule>
    <cfRule type="cellIs" dxfId="2" priority="3" operator="equal">
      <formula>"Proceso"</formula>
    </cfRule>
    <cfRule type="cellIs" dxfId="1" priority="4" operator="equal">
      <formula>"Logro esperado"</formula>
    </cfRule>
    <cfRule type="cellIs" dxfId="0" priority="5" operator="equal">
      <formula>"Logro destacado"</formula>
    </cfRule>
  </conditionalFormatting>
  <dataValidations count="1">
    <dataValidation type="list" allowBlank="1" sqref="O4:O52" xr:uid="{00000000-0002-0000-0000-000000000000}">
      <formula1>"baja,regular,buena,excelente"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zoomScaleNormal="100" workbookViewId="0"/>
  </sheetViews>
  <sheetFormatPr baseColWidth="10" defaultColWidth="8.7109375" defaultRowHeight="15" x14ac:dyDescent="0.25"/>
  <cols>
    <col min="1" max="1" width="30" customWidth="1"/>
    <col min="2" max="2" width="18" customWidth="1"/>
    <col min="3" max="3" width="20" customWidth="1"/>
    <col min="4" max="5" width="24" customWidth="1"/>
  </cols>
  <sheetData>
    <row r="1" spans="1:5" ht="27.75" customHeight="1" x14ac:dyDescent="0.25">
      <c r="A1" s="6" t="s">
        <v>76</v>
      </c>
      <c r="B1" s="6" t="s">
        <v>77</v>
      </c>
      <c r="C1" s="6" t="s">
        <v>78</v>
      </c>
      <c r="D1" s="6" t="s">
        <v>79</v>
      </c>
      <c r="E1" s="6" t="s">
        <v>80</v>
      </c>
    </row>
    <row r="2" spans="1:5" x14ac:dyDescent="0.25">
      <c r="A2" s="13" t="s">
        <v>81</v>
      </c>
      <c r="B2" s="13" t="s">
        <v>82</v>
      </c>
      <c r="C2" s="13" t="s">
        <v>83</v>
      </c>
      <c r="D2" s="13" t="s">
        <v>84</v>
      </c>
      <c r="E2" s="13" t="s">
        <v>85</v>
      </c>
    </row>
    <row r="3" spans="1:5" x14ac:dyDescent="0.25">
      <c r="A3" s="13" t="s">
        <v>86</v>
      </c>
      <c r="B3" s="13" t="s">
        <v>87</v>
      </c>
      <c r="C3" s="13" t="s">
        <v>88</v>
      </c>
      <c r="D3" s="13" t="s">
        <v>89</v>
      </c>
      <c r="E3" s="13" t="s">
        <v>90</v>
      </c>
    </row>
    <row r="4" spans="1:5" x14ac:dyDescent="0.25">
      <c r="A4" s="13" t="s">
        <v>91</v>
      </c>
      <c r="B4" s="13" t="s">
        <v>92</v>
      </c>
      <c r="C4" s="13" t="s">
        <v>93</v>
      </c>
      <c r="D4" s="13" t="s">
        <v>94</v>
      </c>
      <c r="E4" s="13" t="s">
        <v>95</v>
      </c>
    </row>
    <row r="5" spans="1:5" x14ac:dyDescent="0.25">
      <c r="A5" s="13" t="s">
        <v>96</v>
      </c>
      <c r="B5" s="13" t="s">
        <v>97</v>
      </c>
      <c r="C5" s="13" t="s">
        <v>98</v>
      </c>
      <c r="D5" s="13" t="s">
        <v>99</v>
      </c>
      <c r="E5" s="13" t="s">
        <v>100</v>
      </c>
    </row>
    <row r="6" spans="1:5" x14ac:dyDescent="0.25">
      <c r="A6" s="13" t="s">
        <v>101</v>
      </c>
      <c r="B6" s="13" t="s">
        <v>102</v>
      </c>
      <c r="C6" s="13" t="s">
        <v>103</v>
      </c>
      <c r="D6" s="13" t="s">
        <v>104</v>
      </c>
      <c r="E6" s="13" t="s">
        <v>105</v>
      </c>
    </row>
    <row r="7" spans="1:5" x14ac:dyDescent="0.25">
      <c r="A7" s="13" t="s">
        <v>106</v>
      </c>
      <c r="B7" s="13" t="s">
        <v>107</v>
      </c>
      <c r="C7" s="13" t="s">
        <v>108</v>
      </c>
      <c r="D7" s="13" t="s">
        <v>109</v>
      </c>
      <c r="E7" s="13" t="s">
        <v>110</v>
      </c>
    </row>
    <row r="8" spans="1:5" x14ac:dyDescent="0.25">
      <c r="A8" s="13" t="s">
        <v>111</v>
      </c>
      <c r="B8" s="13" t="s">
        <v>112</v>
      </c>
      <c r="C8" s="13" t="s">
        <v>113</v>
      </c>
      <c r="D8" s="13" t="s">
        <v>114</v>
      </c>
      <c r="E8" s="13" t="s">
        <v>115</v>
      </c>
    </row>
    <row r="9" spans="1:5" x14ac:dyDescent="0.25">
      <c r="A9" s="13" t="s">
        <v>116</v>
      </c>
      <c r="B9" s="13" t="s">
        <v>117</v>
      </c>
      <c r="C9" s="13" t="s">
        <v>118</v>
      </c>
      <c r="D9" s="13" t="s">
        <v>119</v>
      </c>
      <c r="E9" s="13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Bitacora</vt:lpstr>
      <vt:lpstr>Rangos de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DREP</cp:lastModifiedBy>
  <cp:revision>0</cp:revision>
  <dcterms:created xsi:type="dcterms:W3CDTF">2026-06-25T22:12:37Z</dcterms:created>
  <dcterms:modified xsi:type="dcterms:W3CDTF">2026-06-25T22:15:10Z</dcterms:modified>
  <dc:language>en-US</dc:language>
</cp:coreProperties>
</file>